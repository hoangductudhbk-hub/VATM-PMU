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E:\20. DỰ ÁN NHÀ ĐIỀU HÀNH SÂN BAY\1. BẢNG VẼ\0. SHOP ĐHKK - TTH\21-01- Update - Tang ap Cau thang bo\10-02 - TK tao ap câu thang bo\"/>
    </mc:Choice>
  </mc:AlternateContent>
  <xr:revisionPtr revIDLastSave="0" documentId="13_ncr:1_{FB5BF33E-35EB-46F8-8DF2-4CD3953E84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Tăng áp thang bộ" sheetId="5" r:id="rId1"/>
    <sheet name="2. Tăng áp BUỒNG ĐỆM TẦNG HẦM" sheetId="15" r:id="rId2"/>
  </sheets>
  <definedNames>
    <definedName name="_xlnm.Print_Area" localSheetId="0">'1. Tăng áp thang bộ'!$A$1:$L$48</definedName>
    <definedName name="_xlnm.Print_Area" localSheetId="1">'2. Tăng áp BUỒNG ĐỆM TẦNG HẦM'!$A$1:$L$48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5" l="1"/>
  <c r="E30" i="15" s="1"/>
  <c r="E33" i="15" s="1"/>
  <c r="E35" i="15" s="1"/>
  <c r="E36" i="15" s="1"/>
  <c r="E25" i="15"/>
  <c r="I22" i="15"/>
  <c r="E29" i="5" l="1"/>
  <c r="E30" i="5" s="1"/>
  <c r="I22" i="5"/>
  <c r="E25" i="5" s="1"/>
  <c r="E33" i="5" l="1"/>
  <c r="E35" i="5" s="1"/>
  <c r="E36" i="5" s="1"/>
</calcChain>
</file>

<file path=xl/sharedStrings.xml><?xml version="1.0" encoding="utf-8"?>
<sst xmlns="http://schemas.openxmlformats.org/spreadsheetml/2006/main" count="130" uniqueCount="61">
  <si>
    <t>m</t>
  </si>
  <si>
    <t>tầng</t>
  </si>
  <si>
    <t>m3/h</t>
  </si>
  <si>
    <t>H =</t>
  </si>
  <si>
    <t>n =</t>
  </si>
  <si>
    <t>http://dieuhoatrungtamhanoi.com.vn/mau-thuyet-minh-thiet-ke-he-thong-tang-ap-hut-khoi-p682.html</t>
  </si>
  <si>
    <t>m2</t>
  </si>
  <si>
    <t>Pa</t>
  </si>
  <si>
    <t>Q</t>
  </si>
  <si>
    <t>Cột áp quạt</t>
  </si>
  <si>
    <t>Tiêu chuẩn áp dụng: TCVN 5687-2010, CP 13 - 1999, BS5588</t>
  </si>
  <si>
    <t>* Cần tạo ra cột áp dương không quá 50Pa và không nhỏ hơn 20Pa</t>
  </si>
  <si>
    <t>* Vận tốc không khí tối thiểu khi mở cửa 1,3m/s (Để khói không xâm nhập vào cửa)</t>
  </si>
  <si>
    <r>
      <t>Q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: Lượng không khí rò lọt qua các cửa.</t>
    </r>
  </si>
  <si>
    <r>
      <t>Q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: Lượng không khí cần cấp cho giếng thang khi cửa mở.</t>
    </r>
  </si>
  <si>
    <t>Lúc đó lượng gió cần cấp là:</t>
  </si>
  <si>
    <t xml:space="preserve">Q = </t>
  </si>
  <si>
    <t>Để tính được lượng không khí cần cấp cho thang ta cần tính được:</t>
  </si>
  <si>
    <t>Thông số đầu vào:</t>
  </si>
  <si>
    <t>m/s</t>
  </si>
  <si>
    <t>1. Vận tốc gió qua cửa khi mở</t>
  </si>
  <si>
    <t>2. Chênh lệch áp suất giữa hai bên của khi đóng</t>
  </si>
  <si>
    <t>3. Số cửa mở đồng thời khi cháy</t>
  </si>
  <si>
    <t>4. Số tầng cần tăng áp</t>
  </si>
  <si>
    <r>
      <rPr>
        <sz val="11"/>
        <color theme="1"/>
        <rFont val="Arial"/>
        <family val="2"/>
      </rPr>
      <t>Δ</t>
    </r>
    <r>
      <rPr>
        <sz val="11"/>
        <color theme="1"/>
        <rFont val="Times New Roman"/>
        <family val="1"/>
      </rPr>
      <t>P =</t>
    </r>
  </si>
  <si>
    <t>V =</t>
  </si>
  <si>
    <t xml:space="preserve">N = </t>
  </si>
  <si>
    <t>5. Tổng số cửa</t>
  </si>
  <si>
    <t>6. Kích thước cửa</t>
  </si>
  <si>
    <t>Cao</t>
  </si>
  <si>
    <t>Rộng</t>
  </si>
  <si>
    <t>Diện tích</t>
  </si>
  <si>
    <t>W =</t>
  </si>
  <si>
    <t>cửa</t>
  </si>
  <si>
    <t>A =  W.H</t>
  </si>
  <si>
    <t>Lưu lượng không khí cần cấp khi cửa mở</t>
  </si>
  <si>
    <r>
      <t>Q</t>
    </r>
    <r>
      <rPr>
        <b/>
        <vertAlign val="subscript"/>
        <sz val="11"/>
        <color theme="1"/>
        <rFont val="Times New Roman"/>
        <family val="1"/>
      </rPr>
      <t>1</t>
    </r>
  </si>
  <si>
    <r>
      <t>Q = Q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+ Q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(m3/h)</t>
    </r>
  </si>
  <si>
    <r>
      <t>Q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= V.n.A (m3/s)</t>
    </r>
  </si>
  <si>
    <t>m3/s</t>
  </si>
  <si>
    <t>Lưu lượng không khí rò lọt</t>
  </si>
  <si>
    <r>
      <t>Q</t>
    </r>
    <r>
      <rPr>
        <b/>
        <vertAlign val="subscript"/>
        <sz val="11"/>
        <color theme="1"/>
        <rFont val="Times New Roman"/>
        <family val="1"/>
      </rPr>
      <t>2</t>
    </r>
  </si>
  <si>
    <r>
      <t>Q2 = 0,827 x Ae x (</t>
    </r>
    <r>
      <rPr>
        <sz val="11"/>
        <color theme="1"/>
        <rFont val="Arial"/>
        <family val="2"/>
      </rPr>
      <t>Δ</t>
    </r>
    <r>
      <rPr>
        <sz val="11"/>
        <color theme="1"/>
        <rFont val="Times New Roman"/>
        <family val="1"/>
      </rPr>
      <t>P)</t>
    </r>
    <r>
      <rPr>
        <vertAlign val="superscript"/>
        <sz val="11"/>
        <color theme="1"/>
        <rFont val="Times New Roman"/>
        <family val="1"/>
      </rPr>
      <t>1/2</t>
    </r>
    <r>
      <rPr>
        <sz val="11"/>
        <color theme="1"/>
        <rFont val="Times New Roman"/>
        <family val="1"/>
      </rPr>
      <t xml:space="preserve"> x (N-n)</t>
    </r>
  </si>
  <si>
    <t>Ae =</t>
  </si>
  <si>
    <t>Lưu lượng quạt cần chọn</t>
  </si>
  <si>
    <t>Q = Q1 + Q2 (m3/s)</t>
  </si>
  <si>
    <t>Chọn hệ số dự phòng là</t>
  </si>
  <si>
    <t>thì lưu lượng quạt cần chọn là:</t>
  </si>
  <si>
    <r>
      <t>Q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=</t>
    </r>
  </si>
  <si>
    <r>
      <t>Q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= </t>
    </r>
  </si>
  <si>
    <r>
      <t>Q</t>
    </r>
    <r>
      <rPr>
        <vertAlign val="subscript"/>
        <sz val="11"/>
        <color theme="1"/>
        <rFont val="Times New Roman"/>
        <family val="1"/>
      </rPr>
      <t>q</t>
    </r>
    <r>
      <rPr>
        <sz val="11"/>
        <color theme="1"/>
        <rFont val="Times New Roman"/>
        <family val="1"/>
      </rPr>
      <t>=</t>
    </r>
  </si>
  <si>
    <t>* Bảng tra và công thức tính không khí rò lọt qua cửa BS5588</t>
  </si>
  <si>
    <t>Với Diện tích rò rỉ qua 1 cửa</t>
  </si>
  <si>
    <t>((H+W)*2)*0.01)/5.6</t>
  </si>
  <si>
    <t>tiêu chuẩn Anh 5588 phần 4: 1987</t>
  </si>
  <si>
    <t>BS 5588-4 1978</t>
  </si>
  <si>
    <t>có công thức này</t>
  </si>
  <si>
    <t>QUẠT TĂNG ÁP THANG BỘ SAF-01, SAF-02</t>
  </si>
  <si>
    <t>SỬ DỤNG QUẠT LY TÂM CÓ LƯU LƯỢNG</t>
  </si>
  <si>
    <t>QUẠT TĂNG ÁP BUỒNG ĐỆM  P-SAF</t>
  </si>
  <si>
    <t>SỬ DỤNG QUẠT HƯỚNG TRỤC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</si>
</sst>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.0_);_(* \(#,##0.0\);_(* &quot;-&quot;??_);_(@_)"/>
    <numFmt numFmtId="166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i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vertAlign val="subscript"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name val="Times New Roman"/>
      <family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43" fontId="1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0" fillId="0" borderId="0" xfId="1"/>
    <xf numFmtId="0" fontId="3" fillId="0" borderId="0" xfId="0" applyFont="1"/>
    <xf numFmtId="0" fontId="2" fillId="0" borderId="8" xfId="0" applyFont="1" applyBorder="1"/>
    <xf numFmtId="0" fontId="4" fillId="0" borderId="0" xfId="0" applyFont="1"/>
    <xf numFmtId="0" fontId="7" fillId="0" borderId="0" xfId="0" applyFont="1"/>
    <xf numFmtId="0" fontId="8" fillId="0" borderId="0" xfId="0" applyFont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12" fillId="0" borderId="0" xfId="0" applyFont="1"/>
    <xf numFmtId="0" fontId="3" fillId="3" borderId="0" xfId="0" applyFont="1" applyFill="1"/>
    <xf numFmtId="0" fontId="3" fillId="3" borderId="8" xfId="0" applyFont="1" applyFill="1" applyBorder="1"/>
    <xf numFmtId="9" fontId="2" fillId="0" borderId="0" xfId="0" applyNumberFormat="1" applyFont="1"/>
    <xf numFmtId="166" fontId="3" fillId="0" borderId="0" xfId="2" applyNumberFormat="1" applyFont="1" applyBorder="1"/>
    <xf numFmtId="0" fontId="2" fillId="2" borderId="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0" xfId="0" applyFont="1"/>
    <xf numFmtId="0" fontId="2" fillId="0" borderId="0" xfId="0" applyFont="1" applyAlignment="1">
      <alignment horizontal="left"/>
    </xf>
    <xf numFmtId="2" fontId="2" fillId="0" borderId="0" xfId="0" applyNumberFormat="1" applyFont="1"/>
    <xf numFmtId="166" fontId="3" fillId="0" borderId="0" xfId="0" applyNumberFormat="1" applyFont="1"/>
    <xf numFmtId="0" fontId="2" fillId="0" borderId="0" xfId="0" applyFont="1" applyAlignment="1">
      <alignment horizontal="left" vertical="center"/>
    </xf>
    <xf numFmtId="2" fontId="3" fillId="0" borderId="0" xfId="0" applyNumberFormat="1" applyFont="1"/>
    <xf numFmtId="165" fontId="3" fillId="0" borderId="0" xfId="2" applyNumberFormat="1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086350" y="1333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086350" y="1333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26</xdr:row>
      <xdr:rowOff>10120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5086350" y="52393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12</xdr:col>
      <xdr:colOff>64994</xdr:colOff>
      <xdr:row>2</xdr:row>
      <xdr:rowOff>105335</xdr:rowOff>
    </xdr:from>
    <xdr:to>
      <xdr:col>23</xdr:col>
      <xdr:colOff>484093</xdr:colOff>
      <xdr:row>30</xdr:row>
      <xdr:rowOff>173130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35" t="16566" r="13914" b="10103"/>
        <a:stretch>
          <a:fillRect/>
        </a:stretch>
      </xdr:blipFill>
      <xdr:spPr bwMode="auto">
        <a:xfrm>
          <a:off x="8323729" y="486335"/>
          <a:ext cx="7198658" cy="56371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76200</xdr:colOff>
      <xdr:row>29</xdr:row>
      <xdr:rowOff>200025</xdr:rowOff>
    </xdr:from>
    <xdr:to>
      <xdr:col>23</xdr:col>
      <xdr:colOff>504824</xdr:colOff>
      <xdr:row>50</xdr:row>
      <xdr:rowOff>149038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34357" r="17708" b="12004"/>
        <a:stretch>
          <a:fillRect/>
        </a:stretch>
      </xdr:blipFill>
      <xdr:spPr bwMode="auto">
        <a:xfrm>
          <a:off x="7972425" y="5915025"/>
          <a:ext cx="7134225" cy="4461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8A606B-8BDD-40F4-A91C-49F02FAE18CD}"/>
            </a:ext>
          </a:extLst>
        </xdr:cNvPr>
        <xdr:cNvSpPr txBox="1"/>
      </xdr:nvSpPr>
      <xdr:spPr>
        <a:xfrm>
          <a:off x="5600700" y="1409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8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6F3729-36C4-4994-9DF1-97FECE40511B}"/>
            </a:ext>
          </a:extLst>
        </xdr:cNvPr>
        <xdr:cNvSpPr txBox="1"/>
      </xdr:nvSpPr>
      <xdr:spPr>
        <a:xfrm>
          <a:off x="5600700" y="1409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26</xdr:row>
      <xdr:rowOff>10120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E60A06-F786-45F9-AE9D-55781FADD122}"/>
            </a:ext>
          </a:extLst>
        </xdr:cNvPr>
        <xdr:cNvSpPr txBox="1"/>
      </xdr:nvSpPr>
      <xdr:spPr>
        <a:xfrm>
          <a:off x="5600700" y="47954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12</xdr:col>
      <xdr:colOff>64994</xdr:colOff>
      <xdr:row>2</xdr:row>
      <xdr:rowOff>105335</xdr:rowOff>
    </xdr:from>
    <xdr:to>
      <xdr:col>23</xdr:col>
      <xdr:colOff>484093</xdr:colOff>
      <xdr:row>30</xdr:row>
      <xdr:rowOff>173130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E526E28C-5687-4FCC-80CE-B00CD932F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35" t="16566" r="13914" b="10103"/>
        <a:stretch>
          <a:fillRect/>
        </a:stretch>
      </xdr:blipFill>
      <xdr:spPr bwMode="auto">
        <a:xfrm>
          <a:off x="8584154" y="463475"/>
          <a:ext cx="7459979" cy="5264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76200</xdr:colOff>
      <xdr:row>29</xdr:row>
      <xdr:rowOff>200025</xdr:rowOff>
    </xdr:from>
    <xdr:to>
      <xdr:col>23</xdr:col>
      <xdr:colOff>504824</xdr:colOff>
      <xdr:row>50</xdr:row>
      <xdr:rowOff>149038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E4FAF9CA-B1C1-4DD6-AE99-14313CE54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333" t="34357" r="17708" b="12004"/>
        <a:stretch>
          <a:fillRect/>
        </a:stretch>
      </xdr:blipFill>
      <xdr:spPr bwMode="auto">
        <a:xfrm>
          <a:off x="8595360" y="5549265"/>
          <a:ext cx="7469504" cy="41323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ieuhoatrungtamhanoi.com.vn/mau-thuyet-minh-thiet-ke-he-thong-tang-ap-hut-khoi-p682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dieuhoatrungtamhanoi.com.vn/mau-thuyet-minh-thiet-ke-he-thong-tang-ap-hut-khoi-p68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55"/>
  <sheetViews>
    <sheetView tabSelected="1" topLeftCell="A13" zoomScale="85" zoomScaleNormal="85" zoomScaleSheetLayoutView="100" workbookViewId="0">
      <selection activeCell="I34" sqref="I34"/>
    </sheetView>
  </sheetViews>
  <sheetFormatPr defaultColWidth="9.33203125" defaultRowHeight="13.8" x14ac:dyDescent="0.25"/>
  <cols>
    <col min="1" max="1" width="4.33203125" style="21" customWidth="1"/>
    <col min="2" max="2" width="9.33203125" style="1"/>
    <col min="3" max="3" width="17.5546875" style="1" customWidth="1"/>
    <col min="4" max="4" width="9.33203125" style="1"/>
    <col min="5" max="5" width="11.5546875" style="1" bestFit="1" customWidth="1"/>
    <col min="6" max="6" width="10.88671875" style="1" customWidth="1"/>
    <col min="7" max="9" width="9.33203125" style="1"/>
    <col min="10" max="10" width="11.88671875" style="2" customWidth="1"/>
    <col min="11" max="11" width="9.33203125" style="1"/>
    <col min="12" max="12" width="12" style="1" customWidth="1"/>
    <col min="13" max="16384" width="9.33203125" style="1"/>
  </cols>
  <sheetData>
    <row r="1" spans="1:16" ht="14.4" x14ac:dyDescent="0.3">
      <c r="A1" s="17"/>
      <c r="B1" s="32" t="s">
        <v>57</v>
      </c>
      <c r="C1" s="32"/>
      <c r="D1" s="32"/>
      <c r="E1" s="32"/>
      <c r="F1" s="32"/>
      <c r="G1" s="32"/>
      <c r="H1" s="32"/>
      <c r="I1" s="32"/>
      <c r="J1" s="32"/>
      <c r="K1" s="32"/>
      <c r="L1" s="33"/>
      <c r="M1" s="3" t="s">
        <v>5</v>
      </c>
    </row>
    <row r="2" spans="1:16" x14ac:dyDescent="0.25">
      <c r="A2" s="18"/>
      <c r="B2" s="4"/>
      <c r="C2" s="4"/>
      <c r="D2" s="4"/>
      <c r="E2" s="4"/>
      <c r="F2" s="4"/>
      <c r="L2" s="5"/>
      <c r="N2" s="1" t="s">
        <v>55</v>
      </c>
      <c r="P2" s="1" t="s">
        <v>56</v>
      </c>
    </row>
    <row r="3" spans="1:16" x14ac:dyDescent="0.25">
      <c r="A3" s="18"/>
      <c r="B3" s="4"/>
      <c r="C3" s="4"/>
      <c r="D3" s="4"/>
      <c r="E3" s="4"/>
      <c r="F3" s="4"/>
      <c r="L3" s="5"/>
    </row>
    <row r="4" spans="1:16" x14ac:dyDescent="0.25">
      <c r="A4" s="18"/>
      <c r="B4" s="4"/>
      <c r="C4" s="4"/>
      <c r="D4" s="4"/>
      <c r="E4" s="4"/>
      <c r="F4" s="4"/>
      <c r="L4" s="5"/>
    </row>
    <row r="5" spans="1:16" x14ac:dyDescent="0.25">
      <c r="A5" s="18"/>
      <c r="B5" s="1" t="s">
        <v>10</v>
      </c>
      <c r="L5" s="5"/>
    </row>
    <row r="6" spans="1:16" x14ac:dyDescent="0.25">
      <c r="A6" s="18"/>
      <c r="B6" s="7" t="s">
        <v>11</v>
      </c>
      <c r="C6" s="7"/>
      <c r="D6" s="7"/>
      <c r="E6" s="7"/>
      <c r="F6" s="7"/>
      <c r="G6" s="7"/>
      <c r="H6" s="7"/>
      <c r="I6" s="7"/>
      <c r="L6" s="5"/>
    </row>
    <row r="7" spans="1:16" x14ac:dyDescent="0.25">
      <c r="A7" s="18"/>
      <c r="B7" s="7" t="s">
        <v>12</v>
      </c>
      <c r="C7" s="7"/>
      <c r="D7" s="7"/>
      <c r="E7" s="8"/>
      <c r="F7" s="8"/>
      <c r="G7" s="8"/>
      <c r="H7" s="8"/>
      <c r="L7" s="5"/>
    </row>
    <row r="8" spans="1:16" x14ac:dyDescent="0.25">
      <c r="A8" s="18"/>
      <c r="B8" s="7" t="s">
        <v>51</v>
      </c>
      <c r="C8" s="7"/>
      <c r="D8" s="7"/>
      <c r="E8" s="8"/>
      <c r="F8" s="8"/>
      <c r="G8" s="8"/>
      <c r="H8" s="8"/>
      <c r="L8" s="5"/>
    </row>
    <row r="9" spans="1:16" x14ac:dyDescent="0.25">
      <c r="A9" s="18"/>
      <c r="B9" s="1" t="s">
        <v>17</v>
      </c>
      <c r="L9" s="5"/>
    </row>
    <row r="10" spans="1:16" ht="16.2" x14ac:dyDescent="0.35">
      <c r="A10" s="18"/>
      <c r="B10" s="1" t="s">
        <v>14</v>
      </c>
      <c r="L10" s="5"/>
    </row>
    <row r="11" spans="1:16" ht="16.2" x14ac:dyDescent="0.35">
      <c r="A11" s="18"/>
      <c r="B11" s="1" t="s">
        <v>13</v>
      </c>
      <c r="L11" s="5"/>
    </row>
    <row r="12" spans="1:16" x14ac:dyDescent="0.25">
      <c r="A12" s="18"/>
      <c r="B12" s="23" t="s">
        <v>15</v>
      </c>
      <c r="L12" s="5"/>
    </row>
    <row r="13" spans="1:16" ht="16.2" x14ac:dyDescent="0.35">
      <c r="A13" s="18"/>
      <c r="D13" s="29" t="s">
        <v>37</v>
      </c>
      <c r="E13" s="30"/>
      <c r="F13" s="31"/>
      <c r="L13" s="5"/>
    </row>
    <row r="14" spans="1:16" x14ac:dyDescent="0.25">
      <c r="A14" s="18"/>
      <c r="B14" s="1" t="s">
        <v>18</v>
      </c>
      <c r="I14" s="23"/>
      <c r="L14" s="5"/>
    </row>
    <row r="15" spans="1:16" x14ac:dyDescent="0.25">
      <c r="A15" s="18"/>
      <c r="C15" s="1" t="s">
        <v>20</v>
      </c>
      <c r="H15" s="1" t="s">
        <v>25</v>
      </c>
      <c r="I15" s="1">
        <v>1.3</v>
      </c>
      <c r="J15" s="2" t="s">
        <v>19</v>
      </c>
      <c r="L15" s="5"/>
    </row>
    <row r="16" spans="1:16" ht="14.4" x14ac:dyDescent="0.3">
      <c r="A16" s="18"/>
      <c r="C16" s="1" t="s">
        <v>21</v>
      </c>
      <c r="D16" s="22"/>
      <c r="H16" s="12" t="s">
        <v>24</v>
      </c>
      <c r="I16" s="1">
        <v>50</v>
      </c>
      <c r="J16" s="2" t="s">
        <v>7</v>
      </c>
      <c r="L16" s="5"/>
    </row>
    <row r="17" spans="1:12" x14ac:dyDescent="0.25">
      <c r="A17" s="18"/>
      <c r="C17" s="1" t="s">
        <v>22</v>
      </c>
      <c r="H17" s="1" t="s">
        <v>4</v>
      </c>
      <c r="I17" s="1">
        <v>3</v>
      </c>
      <c r="J17" s="2" t="s">
        <v>33</v>
      </c>
      <c r="L17" s="5"/>
    </row>
    <row r="18" spans="1:12" x14ac:dyDescent="0.25">
      <c r="A18" s="18"/>
      <c r="C18" s="1" t="s">
        <v>23</v>
      </c>
      <c r="I18" s="1">
        <v>7</v>
      </c>
      <c r="J18" s="2" t="s">
        <v>1</v>
      </c>
      <c r="L18" s="5"/>
    </row>
    <row r="19" spans="1:12" x14ac:dyDescent="0.25">
      <c r="A19" s="18"/>
      <c r="C19" s="1" t="s">
        <v>27</v>
      </c>
      <c r="H19" s="1" t="s">
        <v>26</v>
      </c>
      <c r="I19" s="1">
        <v>7</v>
      </c>
      <c r="J19" s="2" t="s">
        <v>33</v>
      </c>
      <c r="L19" s="5"/>
    </row>
    <row r="20" spans="1:12" x14ac:dyDescent="0.25">
      <c r="A20" s="18"/>
      <c r="C20" s="1" t="s">
        <v>28</v>
      </c>
      <c r="G20" s="1" t="s">
        <v>29</v>
      </c>
      <c r="H20" s="1" t="s">
        <v>3</v>
      </c>
      <c r="I20" s="1">
        <v>2.1</v>
      </c>
      <c r="J20" s="2" t="s">
        <v>0</v>
      </c>
      <c r="L20" s="5"/>
    </row>
    <row r="21" spans="1:12" x14ac:dyDescent="0.25">
      <c r="A21" s="18"/>
      <c r="G21" s="1" t="s">
        <v>30</v>
      </c>
      <c r="H21" s="1" t="s">
        <v>32</v>
      </c>
      <c r="I21" s="1">
        <v>0.8</v>
      </c>
      <c r="J21" s="2" t="s">
        <v>0</v>
      </c>
      <c r="L21" s="5"/>
    </row>
    <row r="22" spans="1:12" x14ac:dyDescent="0.25">
      <c r="A22" s="18"/>
      <c r="G22" s="1" t="s">
        <v>31</v>
      </c>
      <c r="H22" s="1" t="s">
        <v>34</v>
      </c>
      <c r="I22" s="1">
        <f>I21*I20</f>
        <v>1.6800000000000002</v>
      </c>
      <c r="J22" s="2" t="s">
        <v>6</v>
      </c>
      <c r="L22" s="5"/>
    </row>
    <row r="23" spans="1:12" ht="16.2" x14ac:dyDescent="0.35">
      <c r="A23" s="19">
        <v>1</v>
      </c>
      <c r="B23" s="13" t="s">
        <v>35</v>
      </c>
      <c r="C23" s="13"/>
      <c r="D23" s="13"/>
      <c r="E23" s="13"/>
      <c r="F23" s="13" t="s">
        <v>36</v>
      </c>
      <c r="G23" s="13"/>
      <c r="H23" s="13"/>
      <c r="I23" s="13"/>
      <c r="J23" s="13"/>
      <c r="K23" s="13"/>
      <c r="L23" s="14"/>
    </row>
    <row r="24" spans="1:12" ht="16.2" x14ac:dyDescent="0.35">
      <c r="A24" s="18"/>
      <c r="D24" s="29" t="s">
        <v>38</v>
      </c>
      <c r="E24" s="30"/>
      <c r="F24" s="31"/>
      <c r="J24" s="1"/>
      <c r="L24" s="5"/>
    </row>
    <row r="25" spans="1:12" ht="16.2" x14ac:dyDescent="0.35">
      <c r="A25" s="18"/>
      <c r="D25" s="1" t="s">
        <v>48</v>
      </c>
      <c r="E25" s="27">
        <f>I22*I17*I15</f>
        <v>6.5520000000000014</v>
      </c>
      <c r="F25" s="1" t="s">
        <v>39</v>
      </c>
      <c r="J25" s="1"/>
      <c r="L25" s="5"/>
    </row>
    <row r="26" spans="1:12" ht="16.2" x14ac:dyDescent="0.35">
      <c r="A26" s="19">
        <v>2</v>
      </c>
      <c r="B26" s="13" t="s">
        <v>40</v>
      </c>
      <c r="C26" s="13"/>
      <c r="D26" s="13"/>
      <c r="E26" s="13"/>
      <c r="F26" s="13" t="s">
        <v>41</v>
      </c>
      <c r="G26" s="13"/>
      <c r="H26" s="13"/>
      <c r="I26" s="13"/>
      <c r="J26" s="13"/>
      <c r="K26" s="13"/>
      <c r="L26" s="14"/>
    </row>
    <row r="27" spans="1:12" ht="16.8" x14ac:dyDescent="0.25">
      <c r="A27" s="18"/>
      <c r="D27" s="29" t="s">
        <v>42</v>
      </c>
      <c r="E27" s="30"/>
      <c r="F27" s="31"/>
      <c r="J27" s="1"/>
      <c r="L27" s="5"/>
    </row>
    <row r="28" spans="1:12" x14ac:dyDescent="0.25">
      <c r="A28" s="18"/>
      <c r="B28" s="1" t="s">
        <v>52</v>
      </c>
      <c r="D28" s="1" t="s">
        <v>43</v>
      </c>
      <c r="E28" s="1" t="s">
        <v>53</v>
      </c>
      <c r="J28" s="1"/>
      <c r="L28" s="5"/>
    </row>
    <row r="29" spans="1:12" x14ac:dyDescent="0.25">
      <c r="A29" s="18"/>
      <c r="E29" s="24">
        <f>((I20+I21)*2/5.6)*0.01</f>
        <v>1.0357142857142858E-2</v>
      </c>
      <c r="F29" s="23" t="s">
        <v>6</v>
      </c>
      <c r="J29" s="1"/>
      <c r="L29" s="5"/>
    </row>
    <row r="30" spans="1:12" ht="16.2" x14ac:dyDescent="0.35">
      <c r="A30" s="18"/>
      <c r="D30" s="1" t="s">
        <v>49</v>
      </c>
      <c r="E30" s="27">
        <f>0.827*E29*(I16^0.5)*(I19-I17)</f>
        <v>0.24226488475995672</v>
      </c>
      <c r="F30" s="1" t="s">
        <v>39</v>
      </c>
      <c r="J30" s="1"/>
      <c r="L30" s="5"/>
    </row>
    <row r="31" spans="1:12" x14ac:dyDescent="0.25">
      <c r="A31" s="19">
        <v>3</v>
      </c>
      <c r="B31" s="13" t="s">
        <v>44</v>
      </c>
      <c r="C31" s="13"/>
      <c r="D31" s="13"/>
      <c r="E31" s="13"/>
      <c r="F31" s="13" t="s">
        <v>8</v>
      </c>
      <c r="G31" s="13"/>
      <c r="H31" s="13"/>
      <c r="I31" s="13"/>
      <c r="J31" s="13"/>
      <c r="K31" s="13"/>
      <c r="L31" s="14"/>
    </row>
    <row r="32" spans="1:12" x14ac:dyDescent="0.25">
      <c r="A32" s="18"/>
      <c r="D32" s="29" t="s">
        <v>45</v>
      </c>
      <c r="E32" s="30"/>
      <c r="F32" s="31"/>
      <c r="J32" s="1"/>
      <c r="L32" s="5"/>
    </row>
    <row r="33" spans="1:12" x14ac:dyDescent="0.25">
      <c r="A33" s="18"/>
      <c r="D33" s="1" t="s">
        <v>16</v>
      </c>
      <c r="E33" s="27">
        <f>E30+E25</f>
        <v>6.7942648847599578</v>
      </c>
      <c r="F33" s="1" t="s">
        <v>39</v>
      </c>
      <c r="J33" s="25"/>
      <c r="L33" s="5"/>
    </row>
    <row r="34" spans="1:12" x14ac:dyDescent="0.25">
      <c r="A34" s="18"/>
      <c r="B34" s="1" t="s">
        <v>46</v>
      </c>
      <c r="D34" s="15">
        <v>0.15</v>
      </c>
      <c r="E34" s="1" t="s">
        <v>47</v>
      </c>
      <c r="J34" s="1"/>
      <c r="L34" s="5"/>
    </row>
    <row r="35" spans="1:12" ht="16.2" x14ac:dyDescent="0.35">
      <c r="A35" s="18"/>
      <c r="D35" s="1" t="s">
        <v>50</v>
      </c>
      <c r="E35" s="28">
        <f>E33+E33*D34</f>
        <v>7.8134046174739513</v>
      </c>
      <c r="F35" s="1" t="s">
        <v>39</v>
      </c>
      <c r="J35" s="1"/>
      <c r="L35" s="5"/>
    </row>
    <row r="36" spans="1:12" ht="48" customHeight="1" x14ac:dyDescent="0.25">
      <c r="A36" s="18"/>
      <c r="B36" s="35" t="s">
        <v>58</v>
      </c>
      <c r="C36" s="35"/>
      <c r="E36" s="16">
        <f>+ROUND((E35*3600/1000),0)*1000</f>
        <v>28000</v>
      </c>
      <c r="F36" s="4" t="s">
        <v>2</v>
      </c>
      <c r="J36" s="1"/>
      <c r="L36" s="5"/>
    </row>
    <row r="37" spans="1:12" x14ac:dyDescent="0.25">
      <c r="A37" s="19">
        <v>4</v>
      </c>
      <c r="B37" s="13" t="s">
        <v>9</v>
      </c>
      <c r="C37" s="13"/>
      <c r="D37" s="13"/>
      <c r="E37" s="13"/>
      <c r="F37" s="13"/>
      <c r="G37" s="13"/>
      <c r="H37" s="13"/>
      <c r="I37" s="13"/>
      <c r="J37" s="13"/>
      <c r="K37" s="13"/>
      <c r="L37" s="14"/>
    </row>
    <row r="38" spans="1:12" x14ac:dyDescent="0.25">
      <c r="A38" s="18"/>
      <c r="B38" s="6"/>
      <c r="L38" s="5"/>
    </row>
    <row r="39" spans="1:12" x14ac:dyDescent="0.25">
      <c r="A39" s="18"/>
      <c r="B39" s="26"/>
      <c r="C39" s="26"/>
      <c r="D39" s="26"/>
      <c r="E39" s="26"/>
      <c r="F39" s="26"/>
      <c r="L39" s="5"/>
    </row>
    <row r="40" spans="1:12" x14ac:dyDescent="0.25">
      <c r="A40" s="18"/>
      <c r="L40" s="5"/>
    </row>
    <row r="41" spans="1:12" x14ac:dyDescent="0.25">
      <c r="A41" s="18"/>
      <c r="L41" s="5"/>
    </row>
    <row r="42" spans="1:12" x14ac:dyDescent="0.25">
      <c r="A42" s="18"/>
      <c r="L42" s="5"/>
    </row>
    <row r="43" spans="1:12" x14ac:dyDescent="0.25">
      <c r="A43" s="18"/>
      <c r="L43" s="5"/>
    </row>
    <row r="44" spans="1:12" x14ac:dyDescent="0.25">
      <c r="A44" s="18"/>
      <c r="L44" s="5"/>
    </row>
    <row r="45" spans="1:12" x14ac:dyDescent="0.25">
      <c r="A45" s="18"/>
      <c r="L45" s="5"/>
    </row>
    <row r="46" spans="1:12" x14ac:dyDescent="0.25">
      <c r="A46" s="18"/>
      <c r="B46" s="34"/>
      <c r="C46" s="34"/>
      <c r="D46" s="34"/>
      <c r="E46" s="34"/>
      <c r="L46" s="5"/>
    </row>
    <row r="47" spans="1:12" x14ac:dyDescent="0.25">
      <c r="A47" s="18"/>
      <c r="B47" s="6"/>
      <c r="L47" s="5"/>
    </row>
    <row r="48" spans="1:12" ht="14.4" thickBot="1" x14ac:dyDescent="0.3">
      <c r="A48" s="20"/>
      <c r="B48" s="9"/>
      <c r="C48" s="9"/>
      <c r="D48" s="9"/>
      <c r="E48" s="9"/>
      <c r="F48" s="9"/>
      <c r="G48" s="9"/>
      <c r="H48" s="9"/>
      <c r="I48" s="9"/>
      <c r="J48" s="10"/>
      <c r="K48" s="9"/>
      <c r="L48" s="11"/>
    </row>
    <row r="55" spans="14:14" x14ac:dyDescent="0.25">
      <c r="N55" s="1" t="s">
        <v>54</v>
      </c>
    </row>
  </sheetData>
  <mergeCells count="7">
    <mergeCell ref="B1:L1"/>
    <mergeCell ref="D24:F24"/>
    <mergeCell ref="B46:E46"/>
    <mergeCell ref="D13:F13"/>
    <mergeCell ref="D27:F27"/>
    <mergeCell ref="D32:F32"/>
    <mergeCell ref="B36:C36"/>
  </mergeCells>
  <hyperlinks>
    <hyperlink ref="M1" r:id="rId1" xr:uid="{00000000-0004-0000-0500-000000000000}"/>
  </hyperlinks>
  <pageMargins left="0.7" right="0.7" top="0.75" bottom="0.75" header="0.3" footer="0.3"/>
  <pageSetup scale="7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5B5F5-D92D-43CB-A55A-C0E6834CA334}">
  <dimension ref="A1:P55"/>
  <sheetViews>
    <sheetView topLeftCell="A13" zoomScale="85" zoomScaleNormal="85" zoomScaleSheetLayoutView="100" workbookViewId="0">
      <selection activeCell="L12" sqref="L12"/>
    </sheetView>
  </sheetViews>
  <sheetFormatPr defaultColWidth="9.33203125" defaultRowHeight="13.8" x14ac:dyDescent="0.25"/>
  <cols>
    <col min="1" max="1" width="4.33203125" style="21" customWidth="1"/>
    <col min="2" max="2" width="9.33203125" style="1"/>
    <col min="3" max="3" width="17.5546875" style="1" customWidth="1"/>
    <col min="4" max="4" width="9.33203125" style="1"/>
    <col min="5" max="5" width="11.5546875" style="1" bestFit="1" customWidth="1"/>
    <col min="6" max="6" width="10.88671875" style="1" customWidth="1"/>
    <col min="7" max="9" width="9.33203125" style="1"/>
    <col min="10" max="10" width="11.88671875" style="2" customWidth="1"/>
    <col min="11" max="11" width="9.33203125" style="1"/>
    <col min="12" max="12" width="12" style="1" customWidth="1"/>
    <col min="13" max="16384" width="9.33203125" style="1"/>
  </cols>
  <sheetData>
    <row r="1" spans="1:16" ht="14.4" x14ac:dyDescent="0.3">
      <c r="A1" s="17"/>
      <c r="B1" s="32" t="s">
        <v>59</v>
      </c>
      <c r="C1" s="32"/>
      <c r="D1" s="32"/>
      <c r="E1" s="32"/>
      <c r="F1" s="32"/>
      <c r="G1" s="32"/>
      <c r="H1" s="32"/>
      <c r="I1" s="32"/>
      <c r="J1" s="32"/>
      <c r="K1" s="32"/>
      <c r="L1" s="33"/>
      <c r="M1" s="3" t="s">
        <v>5</v>
      </c>
    </row>
    <row r="2" spans="1:16" x14ac:dyDescent="0.25">
      <c r="A2" s="18"/>
      <c r="B2" s="4"/>
      <c r="C2" s="4"/>
      <c r="D2" s="4"/>
      <c r="E2" s="4"/>
      <c r="F2" s="4"/>
      <c r="L2" s="5"/>
      <c r="N2" s="1" t="s">
        <v>55</v>
      </c>
      <c r="P2" s="1" t="s">
        <v>56</v>
      </c>
    </row>
    <row r="3" spans="1:16" x14ac:dyDescent="0.25">
      <c r="A3" s="18"/>
      <c r="B3" s="4"/>
      <c r="C3" s="4"/>
      <c r="D3" s="4"/>
      <c r="E3" s="4"/>
      <c r="F3" s="4"/>
      <c r="L3" s="5"/>
    </row>
    <row r="4" spans="1:16" x14ac:dyDescent="0.25">
      <c r="A4" s="18"/>
      <c r="B4" s="4"/>
      <c r="C4" s="4"/>
      <c r="D4" s="4"/>
      <c r="E4" s="4"/>
      <c r="F4" s="4"/>
      <c r="L4" s="5"/>
    </row>
    <row r="5" spans="1:16" x14ac:dyDescent="0.25">
      <c r="A5" s="18"/>
      <c r="B5" s="1" t="s">
        <v>10</v>
      </c>
      <c r="L5" s="5"/>
    </row>
    <row r="6" spans="1:16" x14ac:dyDescent="0.25">
      <c r="A6" s="18"/>
      <c r="B6" s="7" t="s">
        <v>11</v>
      </c>
      <c r="C6" s="7"/>
      <c r="D6" s="7"/>
      <c r="E6" s="7"/>
      <c r="F6" s="7"/>
      <c r="G6" s="7"/>
      <c r="H6" s="7"/>
      <c r="I6" s="7"/>
      <c r="L6" s="5"/>
    </row>
    <row r="7" spans="1:16" x14ac:dyDescent="0.25">
      <c r="A7" s="18"/>
      <c r="B7" s="7" t="s">
        <v>12</v>
      </c>
      <c r="C7" s="7"/>
      <c r="D7" s="7"/>
      <c r="E7" s="8"/>
      <c r="F7" s="8"/>
      <c r="G7" s="8"/>
      <c r="H7" s="8"/>
      <c r="L7" s="5"/>
    </row>
    <row r="8" spans="1:16" x14ac:dyDescent="0.25">
      <c r="A8" s="18"/>
      <c r="B8" s="7" t="s">
        <v>51</v>
      </c>
      <c r="C8" s="7"/>
      <c r="D8" s="7"/>
      <c r="E8" s="8"/>
      <c r="F8" s="8"/>
      <c r="G8" s="8"/>
      <c r="H8" s="8"/>
      <c r="L8" s="5"/>
    </row>
    <row r="9" spans="1:16" x14ac:dyDescent="0.25">
      <c r="A9" s="18"/>
      <c r="B9" s="1" t="s">
        <v>17</v>
      </c>
      <c r="L9" s="5"/>
    </row>
    <row r="10" spans="1:16" ht="16.2" x14ac:dyDescent="0.35">
      <c r="A10" s="18"/>
      <c r="B10" s="1" t="s">
        <v>14</v>
      </c>
      <c r="L10" s="5"/>
    </row>
    <row r="11" spans="1:16" ht="16.2" x14ac:dyDescent="0.35">
      <c r="A11" s="18"/>
      <c r="B11" s="1" t="s">
        <v>13</v>
      </c>
      <c r="L11" s="5"/>
    </row>
    <row r="12" spans="1:16" x14ac:dyDescent="0.25">
      <c r="A12" s="18"/>
      <c r="B12" s="23" t="s">
        <v>15</v>
      </c>
      <c r="L12" s="5"/>
    </row>
    <row r="13" spans="1:16" ht="16.2" x14ac:dyDescent="0.35">
      <c r="A13" s="18"/>
      <c r="D13" s="29" t="s">
        <v>37</v>
      </c>
      <c r="E13" s="30"/>
      <c r="F13" s="31"/>
      <c r="L13" s="5"/>
    </row>
    <row r="14" spans="1:16" x14ac:dyDescent="0.25">
      <c r="A14" s="18"/>
      <c r="B14" s="1" t="s">
        <v>18</v>
      </c>
      <c r="I14" s="23"/>
      <c r="L14" s="5"/>
    </row>
    <row r="15" spans="1:16" x14ac:dyDescent="0.25">
      <c r="A15" s="18"/>
      <c r="C15" s="1" t="s">
        <v>20</v>
      </c>
      <c r="H15" s="1" t="s">
        <v>25</v>
      </c>
      <c r="I15" s="1">
        <v>1.3</v>
      </c>
      <c r="J15" s="2" t="s">
        <v>19</v>
      </c>
      <c r="L15" s="5"/>
    </row>
    <row r="16" spans="1:16" ht="14.4" x14ac:dyDescent="0.3">
      <c r="A16" s="18"/>
      <c r="C16" s="1" t="s">
        <v>21</v>
      </c>
      <c r="D16" s="22"/>
      <c r="H16" s="12" t="s">
        <v>24</v>
      </c>
      <c r="I16" s="1">
        <v>50</v>
      </c>
      <c r="J16" s="2" t="s">
        <v>7</v>
      </c>
      <c r="L16" s="5"/>
    </row>
    <row r="17" spans="1:12" x14ac:dyDescent="0.25">
      <c r="A17" s="18"/>
      <c r="C17" s="1" t="s">
        <v>22</v>
      </c>
      <c r="H17" s="1" t="s">
        <v>4</v>
      </c>
      <c r="I17" s="1">
        <v>1</v>
      </c>
      <c r="J17" s="2" t="s">
        <v>33</v>
      </c>
      <c r="L17" s="5"/>
    </row>
    <row r="18" spans="1:12" x14ac:dyDescent="0.25">
      <c r="A18" s="18"/>
      <c r="C18" s="1" t="s">
        <v>23</v>
      </c>
      <c r="I18" s="1">
        <v>1</v>
      </c>
      <c r="J18" s="2" t="s">
        <v>1</v>
      </c>
      <c r="L18" s="5"/>
    </row>
    <row r="19" spans="1:12" x14ac:dyDescent="0.25">
      <c r="A19" s="18"/>
      <c r="C19" s="1" t="s">
        <v>27</v>
      </c>
      <c r="H19" s="1" t="s">
        <v>26</v>
      </c>
      <c r="I19" s="1">
        <v>4</v>
      </c>
      <c r="J19" s="2" t="s">
        <v>33</v>
      </c>
      <c r="L19" s="5"/>
    </row>
    <row r="20" spans="1:12" x14ac:dyDescent="0.25">
      <c r="A20" s="18"/>
      <c r="C20" s="1" t="s">
        <v>28</v>
      </c>
      <c r="G20" s="1" t="s">
        <v>29</v>
      </c>
      <c r="H20" s="1" t="s">
        <v>3</v>
      </c>
      <c r="I20" s="1">
        <v>2.1</v>
      </c>
      <c r="J20" s="2" t="s">
        <v>0</v>
      </c>
      <c r="L20" s="5"/>
    </row>
    <row r="21" spans="1:12" x14ac:dyDescent="0.25">
      <c r="A21" s="18"/>
      <c r="G21" s="1" t="s">
        <v>30</v>
      </c>
      <c r="H21" s="1" t="s">
        <v>32</v>
      </c>
      <c r="I21" s="1">
        <v>0.8</v>
      </c>
      <c r="J21" s="2" t="s">
        <v>0</v>
      </c>
      <c r="L21" s="5"/>
    </row>
    <row r="22" spans="1:12" x14ac:dyDescent="0.25">
      <c r="A22" s="18"/>
      <c r="G22" s="1" t="s">
        <v>31</v>
      </c>
      <c r="H22" s="1" t="s">
        <v>34</v>
      </c>
      <c r="I22" s="1">
        <f>I21*I20</f>
        <v>1.6800000000000002</v>
      </c>
      <c r="J22" s="2" t="s">
        <v>6</v>
      </c>
      <c r="L22" s="5"/>
    </row>
    <row r="23" spans="1:12" ht="16.2" x14ac:dyDescent="0.35">
      <c r="A23" s="19">
        <v>1</v>
      </c>
      <c r="B23" s="13" t="s">
        <v>35</v>
      </c>
      <c r="C23" s="13"/>
      <c r="D23" s="13"/>
      <c r="E23" s="13"/>
      <c r="F23" s="13" t="s">
        <v>36</v>
      </c>
      <c r="G23" s="13"/>
      <c r="H23" s="13"/>
      <c r="I23" s="13"/>
      <c r="J23" s="13"/>
      <c r="K23" s="13"/>
      <c r="L23" s="14"/>
    </row>
    <row r="24" spans="1:12" ht="16.2" x14ac:dyDescent="0.35">
      <c r="A24" s="18"/>
      <c r="D24" s="29" t="s">
        <v>38</v>
      </c>
      <c r="E24" s="30"/>
      <c r="F24" s="31"/>
      <c r="J24" s="1"/>
      <c r="L24" s="5"/>
    </row>
    <row r="25" spans="1:12" ht="16.2" x14ac:dyDescent="0.35">
      <c r="A25" s="18"/>
      <c r="D25" s="1" t="s">
        <v>48</v>
      </c>
      <c r="E25" s="27">
        <f>I22*I17*I15</f>
        <v>2.1840000000000002</v>
      </c>
      <c r="F25" s="1" t="s">
        <v>39</v>
      </c>
      <c r="J25" s="1"/>
      <c r="L25" s="5"/>
    </row>
    <row r="26" spans="1:12" ht="16.2" x14ac:dyDescent="0.35">
      <c r="A26" s="19">
        <v>2</v>
      </c>
      <c r="B26" s="13" t="s">
        <v>40</v>
      </c>
      <c r="C26" s="13"/>
      <c r="D26" s="13"/>
      <c r="E26" s="13"/>
      <c r="F26" s="13" t="s">
        <v>41</v>
      </c>
      <c r="G26" s="13"/>
      <c r="H26" s="13"/>
      <c r="I26" s="13"/>
      <c r="J26" s="13"/>
      <c r="K26" s="13"/>
      <c r="L26" s="14"/>
    </row>
    <row r="27" spans="1:12" ht="16.8" x14ac:dyDescent="0.25">
      <c r="A27" s="18"/>
      <c r="D27" s="29" t="s">
        <v>42</v>
      </c>
      <c r="E27" s="30"/>
      <c r="F27" s="31"/>
      <c r="J27" s="1"/>
      <c r="L27" s="5"/>
    </row>
    <row r="28" spans="1:12" x14ac:dyDescent="0.25">
      <c r="A28" s="18"/>
      <c r="B28" s="1" t="s">
        <v>52</v>
      </c>
      <c r="D28" s="1" t="s">
        <v>43</v>
      </c>
      <c r="E28" s="1" t="s">
        <v>53</v>
      </c>
      <c r="J28" s="1"/>
      <c r="L28" s="5"/>
    </row>
    <row r="29" spans="1:12" x14ac:dyDescent="0.25">
      <c r="A29" s="18"/>
      <c r="E29" s="24">
        <f>((I20+I21)*2/5.6)*0.01</f>
        <v>1.0357142857142858E-2</v>
      </c>
      <c r="F29" s="23" t="s">
        <v>6</v>
      </c>
      <c r="J29" s="1"/>
      <c r="L29" s="5"/>
    </row>
    <row r="30" spans="1:12" ht="16.2" x14ac:dyDescent="0.35">
      <c r="A30" s="18"/>
      <c r="D30" s="1" t="s">
        <v>49</v>
      </c>
      <c r="E30" s="27">
        <f>0.827*E29*(I16^0.5)*(I19-I17)</f>
        <v>0.18169866356996756</v>
      </c>
      <c r="F30" s="1" t="s">
        <v>39</v>
      </c>
      <c r="J30" s="1"/>
      <c r="L30" s="5"/>
    </row>
    <row r="31" spans="1:12" x14ac:dyDescent="0.25">
      <c r="A31" s="19">
        <v>3</v>
      </c>
      <c r="B31" s="13" t="s">
        <v>44</v>
      </c>
      <c r="C31" s="13"/>
      <c r="D31" s="13"/>
      <c r="E31" s="13"/>
      <c r="F31" s="13" t="s">
        <v>8</v>
      </c>
      <c r="G31" s="13"/>
      <c r="H31" s="13"/>
      <c r="I31" s="13"/>
      <c r="J31" s="13"/>
      <c r="K31" s="13"/>
      <c r="L31" s="14"/>
    </row>
    <row r="32" spans="1:12" x14ac:dyDescent="0.25">
      <c r="A32" s="18"/>
      <c r="D32" s="29" t="s">
        <v>45</v>
      </c>
      <c r="E32" s="30"/>
      <c r="F32" s="31"/>
      <c r="J32" s="1"/>
      <c r="L32" s="5"/>
    </row>
    <row r="33" spans="1:12" x14ac:dyDescent="0.25">
      <c r="A33" s="18"/>
      <c r="D33" s="1" t="s">
        <v>16</v>
      </c>
      <c r="E33" s="27">
        <f>E30+E25</f>
        <v>2.3656986635699679</v>
      </c>
      <c r="F33" s="1" t="s">
        <v>39</v>
      </c>
      <c r="J33" s="25"/>
      <c r="L33" s="5"/>
    </row>
    <row r="34" spans="1:12" x14ac:dyDescent="0.25">
      <c r="A34" s="18"/>
      <c r="B34" s="1" t="s">
        <v>46</v>
      </c>
      <c r="D34" s="15">
        <v>0.15</v>
      </c>
      <c r="E34" s="1" t="s">
        <v>47</v>
      </c>
      <c r="J34" s="1"/>
      <c r="L34" s="5"/>
    </row>
    <row r="35" spans="1:12" ht="16.2" x14ac:dyDescent="0.35">
      <c r="A35" s="18"/>
      <c r="D35" s="1" t="s">
        <v>50</v>
      </c>
      <c r="E35" s="28">
        <f>E33+E33*D34</f>
        <v>2.7205534631054631</v>
      </c>
      <c r="F35" s="1" t="s">
        <v>39</v>
      </c>
      <c r="J35" s="1"/>
      <c r="L35" s="5"/>
    </row>
    <row r="36" spans="1:12" ht="48" customHeight="1" x14ac:dyDescent="0.25">
      <c r="A36" s="18"/>
      <c r="B36" s="35" t="s">
        <v>60</v>
      </c>
      <c r="C36" s="35"/>
      <c r="E36" s="16">
        <f>+ROUND((E35*3600/1000),0)*1000</f>
        <v>10000</v>
      </c>
      <c r="F36" s="4" t="s">
        <v>2</v>
      </c>
      <c r="J36" s="1"/>
      <c r="L36" s="5"/>
    </row>
    <row r="37" spans="1:12" x14ac:dyDescent="0.25">
      <c r="A37" s="19">
        <v>4</v>
      </c>
      <c r="B37" s="13" t="s">
        <v>9</v>
      </c>
      <c r="C37" s="13"/>
      <c r="D37" s="13"/>
      <c r="E37" s="13"/>
      <c r="F37" s="13"/>
      <c r="G37" s="13"/>
      <c r="H37" s="13"/>
      <c r="I37" s="13"/>
      <c r="J37" s="13"/>
      <c r="K37" s="13"/>
      <c r="L37" s="14"/>
    </row>
    <row r="38" spans="1:12" x14ac:dyDescent="0.25">
      <c r="A38" s="18"/>
      <c r="B38" s="6"/>
      <c r="L38" s="5"/>
    </row>
    <row r="39" spans="1:12" x14ac:dyDescent="0.25">
      <c r="A39" s="18"/>
      <c r="B39" s="26"/>
      <c r="C39" s="26"/>
      <c r="D39" s="26"/>
      <c r="E39" s="26"/>
      <c r="F39" s="26"/>
      <c r="L39" s="5"/>
    </row>
    <row r="40" spans="1:12" x14ac:dyDescent="0.25">
      <c r="A40" s="18"/>
      <c r="L40" s="5"/>
    </row>
    <row r="41" spans="1:12" x14ac:dyDescent="0.25">
      <c r="A41" s="18"/>
      <c r="L41" s="5"/>
    </row>
    <row r="42" spans="1:12" x14ac:dyDescent="0.25">
      <c r="A42" s="18"/>
      <c r="L42" s="5"/>
    </row>
    <row r="43" spans="1:12" x14ac:dyDescent="0.25">
      <c r="A43" s="18"/>
      <c r="L43" s="5"/>
    </row>
    <row r="44" spans="1:12" x14ac:dyDescent="0.25">
      <c r="A44" s="18"/>
      <c r="L44" s="5"/>
    </row>
    <row r="45" spans="1:12" x14ac:dyDescent="0.25">
      <c r="A45" s="18"/>
      <c r="L45" s="5"/>
    </row>
    <row r="46" spans="1:12" x14ac:dyDescent="0.25">
      <c r="A46" s="18"/>
      <c r="B46" s="34"/>
      <c r="C46" s="34"/>
      <c r="D46" s="34"/>
      <c r="E46" s="34"/>
      <c r="L46" s="5"/>
    </row>
    <row r="47" spans="1:12" x14ac:dyDescent="0.25">
      <c r="A47" s="18"/>
      <c r="B47" s="6"/>
      <c r="L47" s="5"/>
    </row>
    <row r="48" spans="1:12" ht="14.4" thickBot="1" x14ac:dyDescent="0.3">
      <c r="A48" s="20"/>
      <c r="B48" s="9"/>
      <c r="C48" s="9"/>
      <c r="D48" s="9"/>
      <c r="E48" s="9"/>
      <c r="F48" s="9"/>
      <c r="G48" s="9"/>
      <c r="H48" s="9"/>
      <c r="I48" s="9"/>
      <c r="J48" s="10"/>
      <c r="K48" s="9"/>
      <c r="L48" s="11"/>
    </row>
    <row r="55" spans="14:14" x14ac:dyDescent="0.25">
      <c r="N55" s="1" t="s">
        <v>54</v>
      </c>
    </row>
  </sheetData>
  <mergeCells count="7">
    <mergeCell ref="B46:E46"/>
    <mergeCell ref="B1:L1"/>
    <mergeCell ref="D13:F13"/>
    <mergeCell ref="D24:F24"/>
    <mergeCell ref="D27:F27"/>
    <mergeCell ref="D32:F32"/>
    <mergeCell ref="B36:C36"/>
  </mergeCells>
  <hyperlinks>
    <hyperlink ref="M1" r:id="rId1" xr:uid="{04A427FC-9EDD-4E4D-AB12-F83D4A086009}"/>
  </hyperlinks>
  <pageMargins left="0.7" right="0.7" top="0.75" bottom="0.75" header="0.3" footer="0.3"/>
  <pageSetup scale="72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1. Tăng áp thang bộ</vt:lpstr>
      <vt:lpstr>2. Tăng áp BUỒNG ĐỆM TẦNG HẦM</vt:lpstr>
      <vt:lpstr>'1. Tăng áp thang bộ'!Print_Area</vt:lpstr>
      <vt:lpstr>'2. Tăng áp BUỒNG ĐỆM TẦNG HẦM'!Print_Area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Mạnh Hưng</dc:creator>
  <cp:lastModifiedBy>lanh nguyen</cp:lastModifiedBy>
  <cp:lastPrinted>2020-03-25T07:17:27Z</cp:lastPrinted>
  <dcterms:created xsi:type="dcterms:W3CDTF">2015-06-05T18:17:20Z</dcterms:created>
  <dcterms:modified xsi:type="dcterms:W3CDTF">2025-02-25T13:55:10Z</dcterms:modified>
</cp:coreProperties>
</file>